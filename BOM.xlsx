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<sst xmlns="http://schemas.openxmlformats.org/spreadsheetml/2006/main" count="74" uniqueCount="74">
  <si>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 xml:space="preserve">Number of PCB's</t>
  </si>
  <si>
    <t>Reference</t>
  </si>
  <si>
    <t xml:space="preserve">Qty per board</t>
  </si>
  <si>
    <t xml:space="preserve">Total Qty</t>
  </si>
  <si>
    <t>Value</t>
  </si>
  <si>
    <t xml:space="preserve">Cost for Per</t>
  </si>
  <si>
    <t>Cost</t>
  </si>
  <si>
    <t>URL</t>
  </si>
  <si>
    <t xml:space="preserve">Part Number</t>
  </si>
  <si>
    <t>C3,C2,C4,C1</t>
  </si>
  <si>
    <t>https://www.digikey.com/en/products/detail/samsung-electro-mechanics/CL10F104ZB8NNNC/3886670</t>
  </si>
  <si>
    <t>1276-1012-1-ND</t>
  </si>
  <si>
    <t>C6,C7,C5,C9</t>
  </si>
  <si>
    <t>https://www.digikey.com/en/products/detail/samsung-electro-mechanics/CL10A106KP8NNNC/3886850</t>
  </si>
  <si>
    <t>1276-1192-1-ND</t>
  </si>
  <si>
    <t>C8</t>
  </si>
  <si>
    <t>https://www.digikey.com/en/products/detail/samsung-electro-mechanics/CL10B225KP8NNNC/3886792</t>
  </si>
  <si>
    <t>1276-1134-1-ND</t>
  </si>
  <si>
    <t xml:space="preserve">Total Cost</t>
  </si>
  <si>
    <t>C11,C10</t>
  </si>
  <si>
    <t>https://www.digikey.com/en/products/detail/samsung-electro-mechanics/CL10C220JB8NNNC/3886681</t>
  </si>
  <si>
    <t>1276-1023-1-ND</t>
  </si>
  <si>
    <t xml:space="preserve">Cost Per Board</t>
  </si>
  <si>
    <t>R3,R2,R1</t>
  </si>
  <si>
    <t>https://www.digikey.com/en/products/detail/yageo/RC0603FR-07330RL/727162</t>
  </si>
  <si>
    <t>311-330HRCT-ND</t>
  </si>
  <si>
    <t>R4,R5</t>
  </si>
  <si>
    <t>https://www.digikey.com/en/products/detail/yageo/RC0603FR-075K1L/727268</t>
  </si>
  <si>
    <t>311-5.10KHRCT-ND</t>
  </si>
  <si>
    <t>R6</t>
  </si>
  <si>
    <t>https://www.digikey.com/en/products/detail/stackpole-electronics-inc/RMCF0603FT220K/1760805</t>
  </si>
  <si>
    <t>RMCF0603FT220KCT-ND</t>
  </si>
  <si>
    <t>R7,R9</t>
  </si>
  <si>
    <t>https://www.digikey.com/en/products/detail/stackpole-electronics-inc/RMCF0603FT100K/1761112</t>
  </si>
  <si>
    <t>RMCF0603FT100KCT-ND</t>
  </si>
  <si>
    <t>R8</t>
  </si>
  <si>
    <t>https://www.digikey.com/en/products/detail/stackpole-electronics-inc/RMCF0603FT453K/1761122</t>
  </si>
  <si>
    <t>RMCF0603FT453KCT-ND</t>
  </si>
  <si>
    <t>J1</t>
  </si>
  <si>
    <t>Conn_Coaxial</t>
  </si>
  <si>
    <t>https://www.digikey.com/en/products/detail/sparkfun-electronics/23187/21679198</t>
  </si>
  <si>
    <t>1568-23187-ND</t>
  </si>
  <si>
    <t>J2</t>
  </si>
  <si>
    <t>USB_C_Receptacle</t>
  </si>
  <si>
    <t>https://www.digikey.com/en/products/detail/gct/USB4105-GF-A/11198441</t>
  </si>
  <si>
    <t>2073-USB4105-GF-ACT-ND</t>
  </si>
  <si>
    <t>J4,J3</t>
  </si>
  <si>
    <t>Conn_02x05</t>
  </si>
  <si>
    <t>J5</t>
  </si>
  <si>
    <t>Conn_02x04</t>
  </si>
  <si>
    <t>SW1</t>
  </si>
  <si>
    <t>SW_SPST</t>
  </si>
  <si>
    <t>https://www.digikey.com/en/products/detail/c-k/PTS636SK25FSMTR-LFS/10071743</t>
  </si>
  <si>
    <t>CKN12330-1-ND</t>
  </si>
  <si>
    <t>D1,D3</t>
  </si>
  <si>
    <t>GREEN</t>
  </si>
  <si>
    <t>https://www.digikey.com/en/products/detail/harvatek-corporation/B1911NG-20D000214U1930/15519989</t>
  </si>
  <si>
    <t>3147-B1911NG--20D000214U1930CT-ND</t>
  </si>
  <si>
    <t>D2</t>
  </si>
  <si>
    <t>RED</t>
  </si>
  <si>
    <t>https://www.digikey.com/en/products/detail/harvatek-corporation/B1911USD-20D000114U1930/15519991</t>
  </si>
  <si>
    <t>3147-B1911USD-20D000114U1930CT-ND</t>
  </si>
  <si>
    <t>L1</t>
  </si>
  <si>
    <t>https://www.digikey.com/en/products/detail/te-connectivity-passive-product/2-2176797-6/27792014</t>
  </si>
  <si>
    <t>1712-2-2176797-6CT-ND</t>
  </si>
  <si>
    <t>U1</t>
  </si>
  <si>
    <t>MM8108-MF15457</t>
  </si>
  <si>
    <t>https://www.mouser.com/ProductDetail/Morse-Micro/MM8108-MF15457?qs=4dK74SdgGtzPUa4%2FkXv9dA%3D%3D</t>
  </si>
  <si>
    <t>923-MM8108-MF15457</t>
  </si>
  <si>
    <t>U2</t>
  </si>
  <si>
    <t>AP3401</t>
  </si>
  <si>
    <t>https://www.digikey.com/en/products/detail/diodes-incorporated/AP3401KTTR-G1/6186982</t>
  </si>
  <si>
    <t>AP3401KTTR-G1DICT-ND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</si>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</sst>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000.0\n\F"/>
    <numFmt numFmtId="165" formatCode="_([$$-409]* #,##0.00_);_([$$-409]* \(#,##0.00\);_([$$-409]* &quot;-&quot;??_);_(@_)"/>
    <numFmt numFmtId="166" formatCode="00.0\u\F"/>
    <numFmt numFmtId="167" formatCode="0.00\u\F"/>
    <numFmt numFmtId="168" formatCode="00.0\p\F"/>
    <numFmt numFmtId="169" formatCode="0.00\k"/>
    <numFmt numFmtId="170" formatCode="000.0\k"/>
    <numFmt numFmtId="171" formatCode="0.00\u\H"/>
  </numFmts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15">
    <xf fontId="0" fillId="0" borderId="0" numFmtId="0" xfId="0"/>
    <xf fontId="0" fillId="0" borderId="0" numFmtId="0" xfId="0" applyAlignment="1">
      <alignment horizontal="center"/>
    </xf>
    <xf fontId="0" fillId="0" borderId="0" numFmtId="0" xfId="0">
      <protection hidden="0" locked="1"/>
    </xf>
    <xf fontId="0" fillId="0" borderId="0" numFmtId="164" xfId="0" applyNumberFormat="1" applyAlignment="1">
      <alignment horizontal="left"/>
    </xf>
    <xf fontId="0" fillId="0" borderId="0" numFmtId="165" xfId="1" applyNumberFormat="1"/>
    <xf fontId="1" fillId="0" borderId="0" numFmtId="0" xfId="0" applyFont="1"/>
    <xf fontId="0" fillId="0" borderId="0" numFmtId="166" xfId="0" applyNumberFormat="1" applyAlignment="1">
      <alignment horizontal="left"/>
    </xf>
    <xf fontId="0" fillId="0" borderId="0" numFmtId="167" xfId="0" applyNumberFormat="1" applyAlignment="1">
      <alignment horizontal="left"/>
    </xf>
    <xf fontId="0" fillId="0" borderId="0" numFmtId="165" xfId="0" applyNumberFormat="1"/>
    <xf fontId="0" fillId="0" borderId="0" numFmtId="168" xfId="0" applyNumberFormat="1" applyAlignment="1">
      <alignment horizontal="left"/>
    </xf>
    <xf fontId="0" fillId="0" borderId="0" numFmtId="0" xfId="0" applyAlignment="1">
      <alignment horizontal="left"/>
      <protection hidden="0" locked="1"/>
    </xf>
    <xf fontId="0" fillId="0" borderId="0" numFmtId="169" xfId="0" applyNumberFormat="1" applyAlignment="1">
      <alignment horizontal="left"/>
    </xf>
    <xf fontId="0" fillId="0" borderId="0" numFmtId="170" xfId="0" applyNumberFormat="1" applyAlignment="1">
      <alignment horizontal="left"/>
    </xf>
    <xf fontId="0" fillId="0" borderId="0" numFmtId="171" xfId="0" applyNumberFormat="1" applyAlignment="1">
      <alignment horizontal="left"/>
    </xf>
    <xf fontId="0" fillId="0" borderId="0" numFmtId="0" xfId="0"/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igikey.com/en/products/detail/samsung-electro-mechanics/CL10F104ZB8NNNC/3886670" TargetMode="External"/><Relationship  Id="rId10" Type="http://schemas.openxmlformats.org/officeDocument/2006/relationships/hyperlink" Target="https://www.digikey.com/en/products/detail/sparkfun-electronics/23187/21679198" TargetMode="External"/><Relationship  Id="rId11" Type="http://schemas.openxmlformats.org/officeDocument/2006/relationships/hyperlink" Target="https://www.digikey.com/en/products/detail/gct/USB4105-GF-A/11198441" TargetMode="External"/><Relationship  Id="rId12" Type="http://schemas.openxmlformats.org/officeDocument/2006/relationships/hyperlink" Target="https://www.digikey.com/en/products/detail/c-k/PTS636SK25FSMTR-LFS/10071743" TargetMode="External"/><Relationship  Id="rId13" Type="http://schemas.openxmlformats.org/officeDocument/2006/relationships/hyperlink" Target="https://www.digikey.com/en/products/detail/harvatek-corporation/B1911NG-20D000214U1930/15519989" TargetMode="External"/><Relationship  Id="rId14" Type="http://schemas.openxmlformats.org/officeDocument/2006/relationships/hyperlink" Target="https://www.digikey.com/en/products/detail/harvatek-corporation/B1911USD-20D000114U1930/15519991" TargetMode="External"/><Relationship  Id="rId15" Type="http://schemas.openxmlformats.org/officeDocument/2006/relationships/hyperlink" Target="https://www.digikey.com/en/products/detail/te-connectivity-passive-product/2-2176797-6/27792014" TargetMode="External"/><Relationship  Id="rId16" Type="http://schemas.openxmlformats.org/officeDocument/2006/relationships/hyperlink" Target="https://www.mouser.com/ProductDetail/Morse-Micro/MM8108-MF15457?qs=4dK74SdgGtzPUa4%2FkXv9dA%3D%3D" TargetMode="External"/><Relationship  Id="rId17" Type="http://schemas.openxmlformats.org/officeDocument/2006/relationships/hyperlink" Target="https://www.digikey.com/en/products/detail/diodes-incorporated/AP3401KTTR-G1/6186982" TargetMode="External"/><Relationship  Id="rId2" Type="http://schemas.openxmlformats.org/officeDocument/2006/relationships/hyperlink" Target="https://www.digikey.com/en/products/detail/samsung-electro-mechanics/CL10A106KP8NNNC/3886850" TargetMode="External"/><Relationship  Id="rId3" Type="http://schemas.openxmlformats.org/officeDocument/2006/relationships/hyperlink" Target="https://www.digikey.com/en/products/detail/samsung-electro-mechanics/CL10B225KP8NNNC/3886792" TargetMode="External"/><Relationship  Id="rId4" Type="http://schemas.openxmlformats.org/officeDocument/2006/relationships/hyperlink" Target="https://www.digikey.com/en/products/detail/samsung-electro-mechanics/CL10C220JB8NNNC/3886681" TargetMode="External"/><Relationship  Id="rId5" Type="http://schemas.openxmlformats.org/officeDocument/2006/relationships/hyperlink" Target="https://www.digikey.com/en/products/detail/yageo/RC0603FR-07330RL/727162" TargetMode="External"/><Relationship  Id="rId6" Type="http://schemas.openxmlformats.org/officeDocument/2006/relationships/hyperlink" Target="https://www.digikey.com/en/products/detail/yageo/RC0603FR-075K1L/727268" TargetMode="External"/><Relationship  Id="rId7" Type="http://schemas.openxmlformats.org/officeDocument/2006/relationships/hyperlink" Target="https://www.digikey.com/en/products/detail/stackpole-electronics-inc/RMCF0603FT220K/1760805" TargetMode="External"/><Relationship  Id="rId8" Type="http://schemas.openxmlformats.org/officeDocument/2006/relationships/hyperlink" Target="https://www.digikey.com/en/products/detail/stackpole-electronics-inc/RMCF0603FT100K/1761112" TargetMode="External"/><Relationship  Id="rId9" Type="http://schemas.openxmlformats.org/officeDocument/2006/relationships/hyperlink" Target="https://www.digikey.com/en/products/detail/stackpole-electronics-inc/RMCF0603FT453K/1761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421875"/>
    <col customWidth="1" min="2" max="2" width="13.00390625"/>
    <col customWidth="1" min="3" max="3" width="9.140625"/>
    <col customWidth="1" min="4" max="4" width="18.28125"/>
    <col customWidth="1" min="5" max="5" width="11.421875"/>
    <col customWidth="1" min="6" max="6" width="10.00390625"/>
    <col customWidth="1" min="7" max="7" width="9.7109375"/>
    <col customWidth="1" min="8" max="8" width="27.421875"/>
    <col customWidth="1" min="9" max="9" width="9.140625"/>
    <col customWidth="1" min="10" max="10" width="18.8515625"/>
    <col customWidth="1" min="11" max="11" width="9.140625"/>
  </cols>
  <sheetData>
    <row r="1" ht="14.25">
      <c r="A1" s="1" t="s">
        <v>0</v>
      </c>
      <c r="B1" s="1"/>
      <c r="C1">
        <v>1</v>
      </c>
    </row>
    <row r="3" ht="14.25">
      <c r="A3" s="2" t="s">
        <v>1</v>
      </c>
      <c r="B3" s="2" t="s">
        <v>2</v>
      </c>
      <c r="C3" t="s">
        <v>3</v>
      </c>
      <c r="D3" t="s">
        <v>4</v>
      </c>
      <c r="E3" t="s">
        <v>5</v>
      </c>
      <c r="F3" s="2" t="s">
        <v>6</v>
      </c>
      <c r="G3" t="s">
        <v>7</v>
      </c>
      <c r="H3" t="s">
        <v>8</v>
      </c>
    </row>
    <row r="4" ht="14.25">
      <c r="A4" s="2" t="s">
        <v>9</v>
      </c>
      <c r="B4">
        <v>4</v>
      </c>
      <c r="C4">
        <f t="shared" ref="C4:C9" si="0">B4*$C$1</f>
        <v>4</v>
      </c>
      <c r="D4" s="3">
        <v>100</v>
      </c>
      <c r="E4" s="4">
        <v>0.0080000000000000002</v>
      </c>
      <c r="F4" s="4">
        <f t="shared" ref="F4:F9" si="1">E4*C4</f>
        <v>0.032000000000000001</v>
      </c>
      <c r="G4" s="5" t="s">
        <v>10</v>
      </c>
      <c r="H4" t="s">
        <v>11</v>
      </c>
    </row>
    <row r="5" ht="14.25">
      <c r="A5" s="2" t="s">
        <v>12</v>
      </c>
      <c r="B5" s="2">
        <v>4</v>
      </c>
      <c r="C5" s="2">
        <f t="shared" si="0"/>
        <v>4</v>
      </c>
      <c r="D5" s="6">
        <v>10</v>
      </c>
      <c r="E5" s="4">
        <v>0.025999999999999999</v>
      </c>
      <c r="F5" s="4">
        <f t="shared" si="1"/>
        <v>0.104</v>
      </c>
      <c r="G5" s="5" t="s">
        <v>13</v>
      </c>
      <c r="H5" t="s">
        <v>14</v>
      </c>
    </row>
    <row r="6" ht="14.25">
      <c r="A6" s="2" t="s">
        <v>15</v>
      </c>
      <c r="B6">
        <v>1</v>
      </c>
      <c r="C6">
        <f t="shared" si="0"/>
        <v>1</v>
      </c>
      <c r="D6" s="7">
        <v>2.2000000000000002</v>
      </c>
      <c r="E6" s="4">
        <v>0.080000000000000002</v>
      </c>
      <c r="F6" s="4">
        <f t="shared" si="1"/>
        <v>0.080000000000000002</v>
      </c>
      <c r="G6" s="5" t="s">
        <v>16</v>
      </c>
      <c r="H6" t="s">
        <v>17</v>
      </c>
      <c r="J6" t="s">
        <v>18</v>
      </c>
      <c r="K6" s="8">
        <f>SUM(F4:F24)</f>
        <v>31.18966666667</v>
      </c>
    </row>
    <row r="7" ht="14.25">
      <c r="A7" s="2" t="s">
        <v>19</v>
      </c>
      <c r="B7">
        <v>2</v>
      </c>
      <c r="C7">
        <f t="shared" si="0"/>
        <v>2</v>
      </c>
      <c r="D7" s="9">
        <v>22</v>
      </c>
      <c r="E7" s="4">
        <v>0.035000000000000003</v>
      </c>
      <c r="F7" s="4">
        <f t="shared" si="1"/>
        <v>0.070000000000000007</v>
      </c>
      <c r="G7" s="5" t="s">
        <v>20</v>
      </c>
      <c r="H7" s="2" t="s">
        <v>21</v>
      </c>
      <c r="J7" t="s">
        <v>22</v>
      </c>
      <c r="K7" s="4">
        <f>K6/C1</f>
        <v>31.18966666667</v>
      </c>
    </row>
    <row r="8" ht="14.25">
      <c r="A8" s="2" t="s">
        <v>23</v>
      </c>
      <c r="B8">
        <v>3</v>
      </c>
      <c r="C8">
        <f t="shared" si="0"/>
        <v>3</v>
      </c>
      <c r="D8" s="10">
        <v>330</v>
      </c>
      <c r="E8" s="4">
        <v>0.0080000000000000002</v>
      </c>
      <c r="F8" s="4">
        <f t="shared" si="1"/>
        <v>0.024</v>
      </c>
      <c r="G8" s="5" t="s">
        <v>24</v>
      </c>
      <c r="H8" t="s">
        <v>25</v>
      </c>
    </row>
    <row r="9" ht="14.25">
      <c r="A9" s="2" t="s">
        <v>26</v>
      </c>
      <c r="B9">
        <v>2</v>
      </c>
      <c r="C9">
        <f t="shared" si="0"/>
        <v>2</v>
      </c>
      <c r="D9" s="11">
        <v>5.0999999999999996</v>
      </c>
      <c r="E9" s="4">
        <v>0.0070000000000000001</v>
      </c>
      <c r="F9" s="4">
        <f t="shared" si="1"/>
        <v>0.014</v>
      </c>
      <c r="G9" s="5" t="s">
        <v>27</v>
      </c>
      <c r="H9" t="s">
        <v>28</v>
      </c>
    </row>
    <row r="10" ht="14.25">
      <c r="A10" s="2" t="s">
        <v>29</v>
      </c>
      <c r="B10">
        <v>1</v>
      </c>
      <c r="C10">
        <f t="shared" ref="C10:C23" si="2">B10*$C$1</f>
        <v>1</v>
      </c>
      <c r="D10" s="12">
        <v>220</v>
      </c>
      <c r="E10" s="4">
        <v>0.0070000000000000001</v>
      </c>
      <c r="F10" s="4">
        <f t="shared" ref="F10:F23" si="3">E10*C10</f>
        <v>0.0070000000000000001</v>
      </c>
      <c r="G10" s="5" t="s">
        <v>30</v>
      </c>
      <c r="H10" t="s">
        <v>31</v>
      </c>
    </row>
    <row r="11" ht="14.25">
      <c r="A11" s="2" t="s">
        <v>32</v>
      </c>
      <c r="B11">
        <v>2</v>
      </c>
      <c r="C11">
        <f t="shared" si="2"/>
        <v>2</v>
      </c>
      <c r="D11" s="12">
        <v>100</v>
      </c>
      <c r="E11" s="4">
        <v>0.0060000000000000001</v>
      </c>
      <c r="F11" s="4">
        <f t="shared" si="3"/>
        <v>0.012</v>
      </c>
      <c r="G11" s="5" t="s">
        <v>33</v>
      </c>
      <c r="H11" t="s">
        <v>34</v>
      </c>
    </row>
    <row r="12" ht="14.25">
      <c r="A12" s="2" t="s">
        <v>35</v>
      </c>
      <c r="B12">
        <v>1</v>
      </c>
      <c r="C12">
        <f t="shared" si="2"/>
        <v>1</v>
      </c>
      <c r="D12" s="12">
        <v>453</v>
      </c>
      <c r="E12" s="4">
        <v>0.10000000000000001</v>
      </c>
      <c r="F12" s="4">
        <f t="shared" si="3"/>
        <v>0.10000000000000001</v>
      </c>
      <c r="G12" s="5" t="s">
        <v>36</v>
      </c>
      <c r="H12" t="s">
        <v>37</v>
      </c>
    </row>
    <row r="13" ht="14.25">
      <c r="A13" s="2" t="s">
        <v>38</v>
      </c>
      <c r="B13">
        <v>1</v>
      </c>
      <c r="C13">
        <f t="shared" si="2"/>
        <v>1</v>
      </c>
      <c r="D13" s="10" t="s">
        <v>39</v>
      </c>
      <c r="E13" s="4">
        <v>1.5</v>
      </c>
      <c r="F13" s="4">
        <f t="shared" si="3"/>
        <v>1.5</v>
      </c>
      <c r="G13" s="5" t="s">
        <v>40</v>
      </c>
      <c r="H13" t="s">
        <v>41</v>
      </c>
    </row>
    <row r="14" ht="14.25">
      <c r="A14" s="2" t="s">
        <v>42</v>
      </c>
      <c r="B14">
        <v>1</v>
      </c>
      <c r="C14">
        <f t="shared" si="2"/>
        <v>1</v>
      </c>
      <c r="D14" s="10" t="s">
        <v>43</v>
      </c>
      <c r="E14" s="4">
        <v>0.73999999999999999</v>
      </c>
      <c r="F14" s="4">
        <f t="shared" si="3"/>
        <v>0.73999999999999999</v>
      </c>
      <c r="G14" s="5" t="s">
        <v>44</v>
      </c>
      <c r="H14" t="s">
        <v>45</v>
      </c>
    </row>
    <row r="15" ht="14.25">
      <c r="A15" s="2" t="s">
        <v>46</v>
      </c>
      <c r="B15">
        <v>2</v>
      </c>
      <c r="C15">
        <f t="shared" si="2"/>
        <v>2</v>
      </c>
      <c r="D15" s="10" t="s">
        <v>47</v>
      </c>
      <c r="E15" s="4">
        <v>0</v>
      </c>
      <c r="F15" s="4">
        <f t="shared" si="3"/>
        <v>0</v>
      </c>
    </row>
    <row r="16" ht="14.25">
      <c r="A16" s="2" t="s">
        <v>48</v>
      </c>
      <c r="B16">
        <v>1</v>
      </c>
      <c r="C16">
        <f t="shared" si="2"/>
        <v>1</v>
      </c>
      <c r="D16" s="10" t="s">
        <v>49</v>
      </c>
      <c r="E16" s="4">
        <v>0</v>
      </c>
      <c r="F16" s="4">
        <f t="shared" si="3"/>
        <v>0</v>
      </c>
    </row>
    <row r="17" ht="14.25">
      <c r="A17" s="2" t="s">
        <v>50</v>
      </c>
      <c r="B17">
        <v>1</v>
      </c>
      <c r="C17">
        <f t="shared" si="2"/>
        <v>1</v>
      </c>
      <c r="D17" s="10" t="s">
        <v>51</v>
      </c>
      <c r="E17" s="4">
        <v>0.23999999999999999</v>
      </c>
      <c r="F17" s="4">
        <f t="shared" si="3"/>
        <v>0.23999999999999999</v>
      </c>
      <c r="G17" s="5" t="s">
        <v>52</v>
      </c>
      <c r="H17" t="s">
        <v>53</v>
      </c>
    </row>
    <row r="18" ht="14.25">
      <c r="A18" s="2" t="s">
        <v>54</v>
      </c>
      <c r="B18">
        <v>2</v>
      </c>
      <c r="C18">
        <f t="shared" si="2"/>
        <v>2</v>
      </c>
      <c r="D18" s="10" t="s">
        <v>55</v>
      </c>
      <c r="E18">
        <v>0.10000000000000001</v>
      </c>
      <c r="F18" s="4">
        <f t="shared" si="3"/>
        <v>0.20000000000000001</v>
      </c>
      <c r="G18" s="5" t="s">
        <v>56</v>
      </c>
      <c r="H18" t="s">
        <v>57</v>
      </c>
    </row>
    <row r="19" ht="14.25">
      <c r="A19" s="2" t="s">
        <v>58</v>
      </c>
      <c r="B19">
        <v>1</v>
      </c>
      <c r="C19">
        <f t="shared" si="2"/>
        <v>1</v>
      </c>
      <c r="D19" s="10" t="s">
        <v>59</v>
      </c>
      <c r="E19" s="4">
        <v>0.10000000000000001</v>
      </c>
      <c r="F19" s="4">
        <f t="shared" si="3"/>
        <v>0.10000000000000001</v>
      </c>
      <c r="G19" s="5" t="s">
        <v>60</v>
      </c>
      <c r="H19" t="s">
        <v>61</v>
      </c>
    </row>
    <row r="20" ht="14.25">
      <c r="A20" s="2" t="s">
        <v>62</v>
      </c>
      <c r="B20">
        <v>1</v>
      </c>
      <c r="C20">
        <f t="shared" si="2"/>
        <v>1</v>
      </c>
      <c r="D20" s="13">
        <v>2.2000000000000002</v>
      </c>
      <c r="E20" s="4">
        <v>0.17000000000000001</v>
      </c>
      <c r="F20" s="4">
        <f t="shared" si="3"/>
        <v>0.17000000000000001</v>
      </c>
      <c r="G20" s="5" t="s">
        <v>63</v>
      </c>
      <c r="H20" t="s">
        <v>64</v>
      </c>
    </row>
    <row r="21" ht="14.25">
      <c r="A21" s="2" t="s">
        <v>65</v>
      </c>
      <c r="B21">
        <v>1</v>
      </c>
      <c r="C21">
        <f t="shared" si="2"/>
        <v>1</v>
      </c>
      <c r="D21" s="10" t="s">
        <v>66</v>
      </c>
      <c r="E21" s="4">
        <v>24.859999999999999</v>
      </c>
      <c r="F21" s="4">
        <f t="shared" si="3"/>
        <v>24.859999999999999</v>
      </c>
      <c r="G21" s="5" t="s">
        <v>67</v>
      </c>
      <c r="H21" s="14" t="s">
        <v>68</v>
      </c>
    </row>
    <row r="22" ht="14.25">
      <c r="A22" s="2" t="s">
        <v>69</v>
      </c>
      <c r="B22">
        <v>1</v>
      </c>
      <c r="C22">
        <f t="shared" si="2"/>
        <v>1</v>
      </c>
      <c r="D22" s="10" t="s">
        <v>70</v>
      </c>
      <c r="E22" s="4">
        <v>0.27000000000000002</v>
      </c>
      <c r="F22" s="4">
        <f t="shared" si="3"/>
        <v>0.27000000000000002</v>
      </c>
      <c r="G22" s="5" t="s">
        <v>71</v>
      </c>
      <c r="H22" t="s">
        <v>72</v>
      </c>
    </row>
    <row r="23" ht="14.25">
      <c r="A23" t="s">
        <v>73</v>
      </c>
      <c r="B23">
        <v>1</v>
      </c>
      <c r="C23">
        <f t="shared" si="2"/>
        <v>1</v>
      </c>
      <c r="E23" s="4">
        <v>2.6666666666699999</v>
      </c>
      <c r="F23" s="4">
        <f t="shared" si="3"/>
        <v>2.6666666666699999</v>
      </c>
    </row>
    <row r="25" ht="14.25">
      <c r="O25" s="2"/>
      <c r="R25" s="6"/>
    </row>
  </sheetData>
  <mergeCells count="1">
    <mergeCell ref="A1:B1"/>
  </mergeCell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7"/>
    <hyperlink r:id="rId13" ref="G18"/>
    <hyperlink r:id="rId14" ref="G19"/>
    <hyperlink r:id="rId15" ref="G20"/>
    <hyperlink r:id="rId16" ref="G21"/>
    <hyperlink r:id="rId17" ref="G2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2026-02-19T15:14:01Z</dcterms:modified>
</cp:coreProperties>
</file>